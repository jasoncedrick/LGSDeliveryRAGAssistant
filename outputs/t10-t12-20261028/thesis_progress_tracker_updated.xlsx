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8f22c0d7e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Tracker" sheetId="1" r:id="R9d121404c301451a"/>
    <x:sheet xmlns:r="http://schemas.openxmlformats.org/officeDocument/2006/relationships" name="Sheet1" sheetId="2" r:id="Raba49afb2c6f4265"/>
  </x:sheets>
</x:workbook>
</file>

<file path=xl/sharedStrings.xml><?xml version="1.0" encoding="utf-8"?>
<x:sst xmlns:x="http://schemas.openxmlformats.org/spreadsheetml/2006/main">
  <x:si>
    <x:t xml:space="preserve">DAVAO CITY LGU HYBRID RAG ASSISTANT — THESIS PROGRESS SPRINT TRACKER</x:t>
  </x:si>
  <x:si>
    <x:t xml:space="preserve">Linguistically-Engineered Modular RAG Pipeline | Target Submission Deadline: October 23, 2026</x:t>
  </x:si>
  <x:si>
    <x:t xml:space="preserve">TOTAL TASKS</x:t>
  </x:si>
  <x:si>
    <x:t xml:space="preserve">TASK COMPLETED</x:t>
  </x:si>
  <x:si>
    <x:t xml:space="preserve">PROJECT PROGRESS RATE</x:t>
  </x:si>
  <x:si>
    <x:t xml:space="preserve">MAPPED THESIS SPRINT OPERATIONS</x:t>
  </x:si>
  <x:si>
    <x:t xml:space="preserve">Task ID</x:t>
  </x:si>
  <x:si>
    <x:t xml:space="preserve">Sprint ID</x:t>
  </x:si>
  <x:si>
    <x:t xml:space="preserve">Phase / Chapter</x:t>
  </x:si>
  <x:si>
    <x:t xml:space="preserve">Task Title &amp; Description</x:t>
  </x:si>
  <x:si>
    <x:t xml:space="preserve">Start Date</x:t>
  </x:si>
  <x:si>
    <x:t xml:space="preserve">Due Date</x:t>
  </x:si>
  <x:si>
    <x:t xml:space="preserve">Status</x:t>
  </x:si>
  <x:si>
    <x:t xml:space="preserve">Priority</x:t>
  </x:si>
  <x:si>
    <x:t xml:space="preserve">Deliverable / Output</x:t>
  </x:si>
  <x:si>
    <x:t xml:space="preserve">Mandatory Technical &amp; Data Prerequisites</x:t>
  </x:si>
  <x:si>
    <x:t xml:space="preserve">Fatal Risk</x:t>
  </x:si>
  <x:si>
    <x:t xml:space="preserve">T01</x:t>
  </x:si>
  <x:si>
    <x:t xml:space="preserve">Sprint 1</x:t>
  </x:si>
  <x:si>
    <x:t xml:space="preserve">Chapter 3</x:t>
  </x:si>
  <x:si>
    <x:t xml:space="preserve">Draft Dictionary</x:t>
  </x:si>
  <x:si>
    <x:t xml:space="preserve">Complete</x:t>
  </x:si>
  <x:si>
    <x:t xml:space="preserve">High</x:t>
  </x:si>
  <x:si>
    <x:t xml:space="preserve">Finalize and freeze Layer 1 JSON dictionary (150 terms) mapped strictly across the five eBOSS pillars and dialect false friends</x:t>
  </x:si>
  <x:si>
    <x:t xml:space="preserve">data/municipal_dictionary_v1.json frozen with 150 entries.</x:t>
  </x:si>
  <x:si>
    <x:t xml:space="preserve">T02</x:t>
  </x:si>
  <x:si>
    <x:t xml:space="preserve">Code Dual-Extraction Corpus Engine for City Documents/Citizen Charter</x:t>
  </x:si>
  <x:si>
    <x:t xml:space="preserve">Update splitter to token-based chunking (120 tokens, 20-token overlap) to prevent MiniLM's 128-token sequence truncation</x:t>
  </x:si>
  <x:si>
    <x:t xml:space="preserve">Preprocessing parser outputting clean, token-bounded chunks.</x:t>
  </x:si>
  <x:si>
    <x:t xml:space="preserve">T03</x:t>
  </x:si>
  <x:si>
    <x:t xml:space="preserve">Deploy Local LLM via Server (Temp=0, Top-P=0 parameters)</x:t>
  </x:si>
  <x:si>
    <x:t xml:space="preserve">Offline inference pipeline hosted on local hardware</x:t>
  </x:si>
  <x:si>
    <x:t xml:space="preserve">Deterministic query translation endpoint with ambiguity fallback.</x:t>
  </x:si>
  <x:si>
    <x:t xml:space="preserve">T04</x:t>
  </x:si>
  <x:si>
    <x:t xml:space="preserve">Draft Expert Rater Coordination Request to Davao Business Bureau</x:t>
  </x:si>
  <x:si>
    <x:t xml:space="preserve">Approved letters securing 3 LGU rater commitments</x:t>
  </x:si>
  <x:si>
    <x:t xml:space="preserve">Transmitted letters and formal approval for 3 LGU evaluators.</x:t>
  </x:si>
  <x:si>
    <x:t xml:space="preserve">T05</x:t>
  </x:si>
  <x:si>
    <x:t xml:space="preserve">Sprint 2</x:t>
  </x:si>
  <x:si>
    <x:t xml:space="preserve">Construct 50 Gold-Standard Q&amp;As with Multilingual Query Matrix (150 minimum)</x:t>
  </x:si>
  <x:si>
    <x:t xml:space="preserve">Benchmark expanded to 100 underlying scenario groups (300 query variants: 30 dev groups / 90 queries, 70 held-out test groups / 210 queries).</x:t>
  </x:si>
  <x:si>
    <x:t xml:space="preserve">Structured benchmark partitioned into 30 dev groups and 70 held-out test groups.</x:t>
  </x:si>
  <x:si>
    <x:t xml:space="preserve">T06</x:t>
  </x:si>
  <x:si>
    <x:t xml:space="preserve">Code Automated Evaluation Harness Loop (Hit Rate, MRR, RAGAS)</x:t>
  </x:si>
  <x:si>
    <x:t xml:space="preserve">Python script for batch pipeline evaluation</x:t>
  </x:si>
  <x:si>
    <x:t xml:space="preserve">Batch evaluation pipeline supporting paired test runs.</x:t>
  </x:si>
  <x:si>
    <x:t xml:space="preserve">T07</x:t>
  </x:si>
  <x:si>
    <x:t xml:space="preserve">Execute 3 Baseline Architectures &amp; Export Metrics to CSV</x:t>
  </x:si>
  <x:si>
    <x:t xml:space="preserve">Manuscript evaluates 3 frozen configurations: Config A (BM25 Baseline), Config B (Proposed System), and Config C (Ablation: Injection-Disabled).</x:t>
  </x:si>
  <x:si>
    <x:t xml:space="preserve">Master automated results CSV comparing baseline, proposed, and ablated pipelines.</x:t>
  </x:si>
  <x:si>
    <x:t xml:space="preserve">T08</x:t>
  </x:si>
  <x:si>
    <x:t xml:space="preserve">Sprint 3</x:t>
  </x:si>
  <x:si>
    <x:t xml:space="preserve">Generate Randomized Side-by-Side (SxS) Blind Answers for Expert Raters</x:t>
  </x:si>
  <x:si>
    <x:t xml:space="preserve">T09</x:t>
  </x:si>
  <x:si>
    <x:t xml:space="preserve">Build Double-Blind SxS Rater Scoring Interface and Likert Scale Guidelines</x:t>
  </x:si>
  <x:si>
    <x:t xml:space="preserve">T10</x:t>
  </x:si>
  <x:si>
    <x:t xml:space="preserve">Execute Blind Relevance Grading Sessions with the 3 LGU Expert Raters</x:t>
  </x:si>
  <x:si>
    <x:t xml:space="preserve">T11</x:t>
  </x:si>
  <x:si>
    <x:t xml:space="preserve">Sprint 4</x:t>
  </x:si>
  <x:si>
    <x:t xml:space="preserve">Chapter 4</x:t>
  </x:si>
  <x:si>
    <x:t xml:space="preserve">Compute Blind Relevance to mathematically verify Rater Agreement</x:t>
  </x:si>
  <x:si>
    <x:t xml:space="preserve">Medium</x:t>
  </x:si>
  <x:si>
    <x:t xml:space="preserve">T12</x:t>
  </x:si>
  <x:si>
    <x:t xml:space="preserve">Execute Test to establish Statistical Significance</x:t>
  </x:si>
  <x:si>
    <x:t xml:space="preserve">T13</x:t>
  </x:si>
  <x:si>
    <x:t xml:space="preserve">Draft Chapter 4 (Results &amp; Discussions) &amp; Code matplotlib/plotly charts</x:t>
  </x:si>
  <x:si>
    <x:t xml:space="preserve">Not Started</x:t>
  </x:si>
  <x:si>
    <x:t xml:space="preserve">Chapter 4 text, tables, and comparative charts</x:t>
  </x:si>
  <x:si>
    <x:t xml:space="preserve">Complete Chapter 4 draft with integrated tables and figures.</x:t>
  </x:si>
  <x:si>
    <x:t xml:space="preserve">T14</x:t>
  </x:si>
  <x:si>
    <x:t xml:space="preserve">Sprint 5</x:t>
  </x:si>
  <x:si>
    <x:t xml:space="preserve">Chapter 5</x:t>
  </x:si>
  <x:si>
    <x:t xml:space="preserve">Draft Chapter 5 (Conclusions, Limitations, &amp; Future Recommendations)</x:t>
  </x:si>
  <x:si>
    <x:t xml:space="preserve">Completed Chapter 5 draft (includes static dictionary recommendation)</x:t>
  </x:si>
  <x:si>
    <x:t xml:space="preserve">Complete Chapter 5 draft addressing all research objectives.</x:t>
  </x:si>
  <x:si>
    <x:t xml:space="preserve">T15</x:t>
  </x:si>
  <x:si>
    <x:t xml:space="preserve">Chapters 1-3</x:t>
  </x:si>
  <x:si>
    <x:t xml:space="preserve">Revisions Chapter 1-3</x:t>
  </x:si>
  <x:si>
    <x:t xml:space="preserve">Revised draft Chapters 1 to 3 reflecting panel/adviser changes</x:t>
  </x:si>
  <x:si>
    <x:t xml:space="preserve">Revised Chapters 1–3 conforming to the actual experimental execution.</x:t>
  </x:si>
  <x:si>
    <x:t xml:space="preserve">T16</x:t>
  </x:si>
  <x:si>
    <x:t xml:space="preserve">Sprint 6</x:t>
  </x:si>
  <x:si>
    <x:t xml:space="preserve">Chapters 1-5</x:t>
  </x:si>
  <x:si>
    <x:t xml:space="preserve">Port Entire Manuscript (Chapters 1 to 5) into Department LaTeX Template</x:t>
  </x:si>
  <x:si>
    <x:t xml:space="preserve">Fully compiled LaTeX main.tex and compiled PDF output</x:t>
  </x:si>
  <x:si>
    <x:t xml:space="preserve">Cleanly compiling main.tex and 300-DPI publication PDF.</x:t>
  </x:si>
  <x:si>
    <x:t xml:space="preserve">T17</x:t>
  </x:si>
  <x:si>
    <x:t xml:space="preserve">Conduct Final Adviser Review Round &amp; Implement Emergency Revisions and UREB Submission</x:t>
  </x:si>
  <x:si>
    <x:t xml:space="preserve">Final review sign-off and correction loop</x:t>
  </x:si>
  <x:si>
    <x:t xml:space="preserve">Approved, defense-ready manuscript signed by thesis adviser.</x:t>
  </x:si>
  <x:si>
    <x:t xml:space="preserve">T18</x:t>
  </x:si>
  <x:si>
    <x:t xml:space="preserve">Official Submission of Completed Thesis Manuscript to Department Panel</x:t>
  </x:si>
  <x:si>
    <x:t xml:space="preserve">Uploaded PDF and LaTeX package on ADDU Portal</x:t>
  </x:si>
  <x:si>
    <x:t xml:space="preserve">Formal electronic submission confirmation via the ADDU portal.</x:t>
  </x:si>
  <x:si>
    <x:t xml:space="preserve">U01</x:t>
  </x:si>
  <x:si>
    <x:t xml:space="preserve">U02</x:t>
  </x:si>
  <x:si>
    <x:t xml:space="preserve">U03</x:t>
  </x:si>
  <x:si>
    <x:t xml:space="preserve">U04</x:t>
  </x:si>
  <x:si>
    <x:t xml:space="preserve">U05</x:t>
  </x:si>
  <x:si>
    <x:t xml:space="preserve">U06</x:t>
  </x:si>
  <x:si>
    <x:t xml:space="preserve">U07</x:t>
  </x:si>
  <x:si>
    <x:t xml:space="preserve">U08</x:t>
  </x:si>
  <x:si>
    <x:t xml:space="preserve">U09</x:t>
  </x:si>
  <x:si>
    <x:t xml:space="preserve">U10</x:t>
  </x:si>
  <x:si>
    <x:t xml:space="preserve">U11</x:t>
  </x:si>
  <x:si>
    <x:t xml:space="preserve">U12</x:t>
  </x:si>
  <x:si>
    <x:t xml:space="preserve">U13</x:t>
  </x:si>
  <x:si>
    <x:t xml:space="preserve">U14</x:t>
  </x:si>
  <x:si>
    <x:t xml:space="preserve">U15</x:t>
  </x:si>
  <x:si>
    <x:t xml:space="preserve">Task Title &amp; Updated Description</x:t>
  </x:si>
  <x:si>
    <x:t xml:space="preserve">Prerequisites</x:t>
  </x:si>
  <x:si>
    <x:t xml:space="preserve">Finalize &amp; Freeze Layer 1 Municipal Dictionary: Curate 150 terms across 5 eBOSS pillars and dialect false friends.</x:t>
  </x:si>
  <x:si>
    <x:t xml:space="preserve">Official Citizens' Charters from 5 eBOSS offices; finalized 8-field JSON schema.</x:t>
  </x:si>
  <x:si>
    <x:t xml:space="preserve">In Progress</x:t>
  </x:si>
  <x:si>
    <x:t xml:space="preserve">Code Corpus Ingestion &amp; Token-Based Splitter: Extract eBOSS charter text into 120-token chunks with 20-token overlap.</x:t>
  </x:si>
  <x:si>
    <x:t xml:space="preserve">Document catalog; paraphrase-multilingual-MiniLM-L12-v2 tokenizer; PyMuPDF/TrOCR pipeline.</x:t>
  </x:si>
  <x:si>
    <x:t xml:space="preserve">Deploy Local Mistral 7B Normalization Engine: Configure Ollama inference server with greedy decoding (temp=0, top_p=0) and a 150-token translation limit.</x:t>
  </x:si>
  <x:si>
    <x:t xml:space="preserve">Local GPU runtime (RTX 3060/CUDA); Ollama runtime; constrained few-shot normalization prompt.</x:t>
  </x:si>
  <x:si>
    <x:t xml:space="preserve">Transmit LGU Expert Coordination Request: Formal request to Business Bureau (Ms. Maribel T. Paguican) securing 3 trilingual auditors.</x:t>
  </x:si>
  <x:si>
    <x:t xml:space="preserve">Finalized auditor criteria (fluent in English, Tagalog, Bisaya); official institutional communication letter.</x:t>
  </x:si>
  <x:si>
    <x:t xml:space="preserve">Construct Benchmark Matrix (100 Scenario Groups): Build 300 queries (90 dev, 210 held-out test) with exact charter citations.</x:t>
  </x:si>
  <x:si>
    <x:t xml:space="preserve">T01 dictionary frozen; T02 corpus indexed with exact page references; en bloc scenario-group IDs assigned.</x:t>
  </x:si>
  <x:si>
    <x:t xml:space="preserve">Code Automated Evaluation Harness Loop: Build batch testing suite for Hit@K and RAGAS Context Precision, Faithfulness, and Answer Relevancy.</x:t>
  </x:si>
  <x:si>
    <x:t xml:space="preserve">T02 BM25 and FAISS indexes built; T03 translation engine operational; RAGAS framework configured.</x:t>
  </x:si>
  <x:si>
    <x:t xml:space="preserve">Execute 3 Frozen Configurations &amp; Grid Search: Tune fusion weights on dev data; evaluate Configs A, B, and C on the 210 test queries.</x:t>
  </x:si>
  <x:si>
    <x:t xml:space="preserve">T05 dev/test split locked; T06 harness ready; BM25/FAISS score min-max normalization implemented.</x:t>
  </x:si>
  <x:si>
    <x:t xml:space="preserve">Generate Randomized Double-Blind Audit Corpus: Compile 120 blinded outputs from 20 test groups (60 queries x Configs A &amp; B) with masked system IDs.</x:t>
  </x:si>
  <x:si>
    <x:t xml:space="preserve">T07 held-out inference completed; preselected stratified 20-group subset locked before output inspection.</x:t>
  </x:si>
  <x:si>
    <x:t xml:space="preserve">120 randomized, blinded response records with source passages.</x:t>
  </x:si>
  <x:si>
    <x:t xml:space="preserve">Build 4-Point Double-Blind Rater Scoring Interface: Create evaluation sheets implementing the approved 4-point ordinal rubric for Relevance and Faithfulness.</x:t>
  </x:si>
  <x:si>
    <x:t xml:space="preserve">T08 output schema finalized; 4-point rubric guidelines codified.</x:t>
  </x:si>
  <x:si>
    <x:t xml:space="preserve">Auditor scoring platform enforcing the 4-point scale and evidence cross-referencing.</x:t>
  </x:si>
  <x:si>
    <x:t xml:space="preserve">Conduct Double-Blind Grading Sessions: Supervise 3 independent LGU domain raters completing 360 reviews (120 items x 3 raters).</x:t>
  </x:si>
  <x:si>
    <x:t xml:space="preserve">T04 auditor appointments confirmed; T08 &amp; T09 audit system deployed; rater calibration completed.</x:t>
  </x:si>
  <x:si>
    <x:t xml:space="preserve">Completed scoring database of 360 evaluated response records.</x:t>
  </x:si>
  <x:si>
    <x:t xml:space="preserve">Compute Krippendorff’s Alpha Inter-Rater Reliability: Calculate ordinal alpha across the 3 independent raters targeting alpha &gt;= 0.80.</x:t>
  </x:si>
  <x:si>
    <x:t xml:space="preserve">T10 evaluation matrix validated with zero missing entries; ordinal difference weighting algorithm configured.</x:t>
  </x:si>
  <x:si>
    <x:t xml:space="preserve">Statistical reliability report confirming rater consensus (alpha &gt;= 0.80).</x:t>
  </x:si>
  <x:si>
    <x:t xml:space="preserve">Execute Inferential Statistical Significance Tests: Run Wilcoxon signed-rank and paired tests on automated and human audit metrics.</x:t>
  </x:si>
  <x:si>
    <x:t xml:space="preserve">T07 automated metric CSV; T11 human evaluation ratings.</x:t>
  </x:si>
  <x:si>
    <x:t xml:space="preserve">Statistical significance report demonstrating performance deltas.</x:t>
  </x:si>
  <x:si>
    <x:t xml:space="preserve">Draft Chapter 4 (Results &amp; Discussion) &amp; Visualizations: Synthesize empirical answers to RQ1–RQ4 with publication-ready comparative charts.</x:t>
  </x:si>
  <x:si>
    <x:t xml:space="preserve">T07, T11, and T12 data tables finalized; visualization scripts coded.</x:t>
  </x:si>
  <x:si>
    <x:t xml:space="preserve">Draft Chapter 5 (Conclusions &amp; Recommendations): Synthesize factual findings, architectural limitations, and e-governance deployment takeaways.</x:t>
  </x:si>
  <x:si>
    <x:t xml:space="preserve">T13 Chapter 4 finalized and approved.</x:t>
  </x:si>
  <x:si>
    <x:t xml:space="preserve">Chapters 1–3</x:t>
  </x:si>
  <x:si>
    <x:t xml:space="preserve">Harmonize Chapters 1 to 3 with Thesis Draft: Align problem statement, objectives, eBOSS scope (removing civil registry/health), and architecture.</x:t>
  </x:si>
  <x:si>
    <x:t xml:space="preserve">Methodology updates locked; obsolete 5-baseline and character-chunking claims purged.</x:t>
  </x:si>
  <x:si>
    <x:t xml:space="preserve">Chapters 1–5</x:t>
  </x:si>
  <x:si>
    <x:t xml:space="preserve">Port Manuscript into Department LaTeX Template: Compile full text, fix broken labels, verify BibTeX entries.</x:t>
  </x:si>
  <x:si>
    <x:t xml:space="preserve">T13, T14, and T15 written drafts complete; ADDU LaTeX style files loaded.</x:t>
  </x:si>
  <x:si>
    <x:t xml:space="preserve">Final Adviser Review &amp; Emergency Correction Loop: Address adviser markup, verify equation alignment, and validate citations.</x:t>
  </x:si>
  <x:si>
    <x:t xml:space="preserve">T16 compiled draft submitted for formal sign-off.</x:t>
  </x:si>
  <x:si>
    <x:t xml:space="preserve">Official Thesis Manuscript Submission to Panel: Package final PDF and LaTeX source bundle for institutional submission.</x:t>
  </x:si>
  <x:si>
    <x:t xml:space="preserve">T17 formal adviser approval secured; compliance check verified.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</x:si>
</x:sst>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mmm&quot;-&quot;d"/>
    <x:numFmt numFmtId="166" formatCode="mmm-d"/>
  </x:numFmts>
  <x:fonts count="10">
    <x:font>
      <x:sz val="11"/>
      <x:color theme="1"/>
      <x:name val="Calibri"/>
      <x:scheme val="minor"/>
    </x:font>
    <x:font>
      <x:b/>
      <x:sz val="16"/>
      <x:color rgb="FFFFFFFF"/>
      <x:name val="Calibri"/>
    </x:font>
    <x:font/>
    <x:font>
      <x:i/>
      <x:sz val="11"/>
      <x:color rgb="FFFFFFFF"/>
      <x:name val="Calibri"/>
    </x:font>
    <x:font>
      <x:b/>
      <x:sz val="9"/>
      <x:color rgb="FF595959"/>
      <x:name val="Calibri"/>
    </x:font>
    <x:font>
      <x:b/>
      <x:sz val="5"/>
      <x:color rgb="FF595959"/>
      <x:name val="Calibri"/>
    </x:font>
    <x:font>
      <x:b/>
      <x:sz val="20"/>
      <x:color rgb="FF2F5496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color theme="1"/>
      <x:name val="Calibri"/>
      <x:scheme val="minor"/>
    </x:font>
  </x:fonts>
  <x:fills count="7">
    <x:fill>
      <x:patternFill patternType="none"/>
    </x:fill>
    <x:fill>
      <x:patternFill patternType="lightGray"/>
    </x:fill>
    <x:fill>
      <x:patternFill patternType="solid">
        <x:fgColor rgb="FF2F5496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</x:fills>
  <x:borders count="15">
    <x:border/>
    <x:border>
      <x:left/>
      <x:top/>
      <x:bottom/>
    </x:border>
    <x:border>
      <x:top/>
      <x:bottom/>
    </x:border>
    <x:border>
      <x:right/>
      <x:top/>
      <x:bottom/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medium">
        <x:color rgb="FF1F4E79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 applyFont="1" applyAlignment="1"/>
  </x:cellStyleXfs>
  <x:cellXfs count="41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2" borderId="1" xfId="0" applyFont="1" applyFill="1" applyBorder="1" applyAlignment="1">
      <x:alignment horizontal="center" vertical="center"/>
    </x:xf>
    <x:xf numFmtId="0" fontId="4" fillId="3" borderId="4" xfId="0" applyFont="1" applyFill="1" applyBorder="1" applyAlignment="1">
      <x:alignment horizontal="center" vertical="center"/>
    </x:xf>
    <x:xf numFmtId="0" fontId="2" fillId="0" borderId="5" xfId="0" applyFont="1" applyBorder="1"/>
    <x:xf numFmtId="0" fontId="5" fillId="3" borderId="6" xfId="0" applyFont="1" applyFill="1" applyBorder="1" applyAlignment="1">
      <x:alignment horizontal="center" vertical="center"/>
    </x:xf>
    <x:xf numFmtId="0" fontId="6" fillId="3" borderId="7" xfId="0" applyFont="1" applyFill="1" applyBorder="1" applyAlignment="1">
      <x:alignment horizontal="center" vertical="center"/>
    </x:xf>
    <x:xf numFmtId="0" fontId="2" fillId="0" borderId="8" xfId="0" applyFont="1" applyBorder="1"/>
    <x:xf numFmtId="0" fontId="6" fillId="3" borderId="9" xfId="0" applyFont="1" applyFill="1" applyBorder="1" applyAlignment="1">
      <x:alignment horizontal="center" vertical="center"/>
    </x:xf>
    <x:xf numFmtId="164" fontId="6" fillId="3" borderId="7" xfId="0" applyNumberFormat="1" applyFont="1" applyFill="1" applyBorder="1" applyAlignment="1">
      <x:alignment horizontal="center" vertical="center"/>
    </x:xf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7" fillId="4" borderId="1" xfId="0" applyFont="1" applyFill="1" applyBorder="1" applyAlignment="1">
      <x:alignment horizontal="center" vertical="center"/>
    </x:xf>
    <x:xf numFmtId="0" fontId="7" fillId="2" borderId="13" xfId="0" applyFont="1" applyFill="1" applyBorder="1" applyAlignment="1">
      <x:alignment horizontal="center" vertical="center"/>
    </x:xf>
    <x:xf numFmtId="0" fontId="7" fillId="2" borderId="13" xfId="0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left" vertical="center" wrapText="1" shrinkToFit="0"/>
    </x:xf>
    <x:xf numFmtId="165" fontId="8" fillId="5" borderId="14" xfId="0" applyNumberFormat="1" applyFont="1" applyFill="1" applyBorder="1" applyAlignment="1">
      <x:alignment horizontal="center" vertical="center"/>
    </x:xf>
    <x:xf numFmtId="165" fontId="8" fillId="5" borderId="14" xfId="0" applyNumberFormat="1" applyFont="1" applyFill="1" applyBorder="1" applyAlignment="1">
      <x:alignment horizontal="center" vertical="center"/>
    </x:xf>
    <x:xf numFmtId="0" fontId="8" fillId="6" borderId="14" xfId="0" applyFont="1" applyFill="1" applyBorder="1" applyAlignment="1">
      <x:alignment horizontal="center" vertical="center"/>
    </x:xf>
    <x:xf numFmtId="0" fontId="8" fillId="6" borderId="14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horizontal="left" vertical="center" wrapText="1" shrinkToFit="0"/>
    </x:xf>
    <x:xf numFmtId="165" fontId="8" fillId="3" borderId="14" xfId="0" applyNumberFormat="1" applyFont="1" applyFill="1" applyBorder="1" applyAlignment="1">
      <x:alignment horizontal="center" vertical="center"/>
    </x:xf>
    <x:xf numFmtId="165" fontId="8" fillId="3" borderId="14" xfId="0" applyNumberFormat="1" applyFont="1" applyFill="1" applyBorder="1" applyAlignment="1">
      <x:alignment horizontal="center" vertical="center"/>
    </x:xf>
    <x:xf numFmtId="165" fontId="8" fillId="5" borderId="14" xfId="0" applyNumberFormat="1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left" vertical="center" wrapText="1" shrinkToFit="0"/>
    </x:xf>
    <x:xf numFmtId="165" fontId="8" fillId="3" borderId="14" xfId="0" applyNumberFormat="1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horizontal="left" vertical="center" wrapText="1" shrinkToFit="0"/>
    </x:xf>
    <x:xf numFmtId="165" fontId="8" fillId="3" borderId="14" xfId="0" applyNumberFormat="1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left" vertical="center"/>
    </x:xf>
    <x:xf numFmtId="0" fontId="8" fillId="3" borderId="14" xfId="0" applyFont="1" applyFill="1" applyBorder="1" applyAlignment="1">
      <x:alignment horizontal="left" vertical="center"/>
    </x:xf>
    <x:xf numFmtId="0" fontId="9" fillId="0" borderId="0" xfId="0" applyFont="1"/>
    <x:xf numFmtId="0" fontId="9" fillId="0" borderId="0" xfId="0" applyFont="1" applyAlignment="1"/>
    <x:xf numFmtId="166" fontId="9" fillId="0" borderId="0" xfId="0" applyNumberFormat="1" applyFont="1" applyAlignment="1"/>
    <x:xf numFmtId="0" fontId="8" fillId="3" borderId="14" xfId="0" applyNumberFormat="1" applyFont="1" applyFill="1" applyBorder="1" applyAlignment="1">
      <x:alignment horizontal="left" vertical="center" wrapText="1"/>
    </x:xf>
    <x:xf numFmtId="0" fontId="8" fillId="5" borderId="1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C6EFCE"/>
        </x:patternFill>
      </x:fill>
      <x:border/>
    </x:dxf>
    <x:dxf>
      <x:font>
        <x:b/>
        <x:color rgb="FF9C0006"/>
      </x:font>
      <x:fill>
        <x:patternFill>
          <x:bgColor rgb="FFFFC7CE"/>
        </x:patternFill>
      </x:fill>
      <x:border/>
    </x:dxf>
    <x:dxf>
      <x:font>
        <x:b/>
        <x:color rgb="FF9C6500"/>
      </x:font>
      <x:fill>
        <x:patternFill>
          <x:bgColor rgb="FFFFEB9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4a5764b3649ea" /><Relationship Type="http://schemas.openxmlformats.org/officeDocument/2006/relationships/theme" Target="/xl/theme/theme1.xml" Id="R40de6b195b6e4210" /><Relationship Type="http://schemas.openxmlformats.org/officeDocument/2006/relationships/sharedStrings" Target="/xl/sharedStrings.xml" Id="R26bc63a3981f49f3" /><Relationship Type="http://schemas.openxmlformats.org/officeDocument/2006/relationships/worksheet" Target="/xl/worksheets/sheet1.xml" Id="R9d121404c301451a" /><Relationship Type="http://schemas.openxmlformats.org/officeDocument/2006/relationships/worksheet" Target="/xl/worksheets/sheet2.xml" Id="Raba49afb2c6f426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ColWidth="14.430000305175781" defaultRowHeight="15"/>
  <x:cols>
    <x:col min="1" max="1" width="24.860000610351562" customWidth="1"/>
    <x:col min="2" max="2" width="13" customWidth="1"/>
    <x:col min="3" max="3" width="19" customWidth="1"/>
    <x:col min="4" max="4" width="70.70999908447266" customWidth="1"/>
    <x:col min="5" max="6" width="14" customWidth="1"/>
    <x:col min="7" max="7" width="16" customWidth="1"/>
    <x:col min="8" max="8" width="13" customWidth="1"/>
    <x:col min="9" max="9" width="61.709999084472656" customWidth="1"/>
    <x:col min="10" max="10" width="45.43000030517578" customWidth="1"/>
    <x:col min="11" max="11" width="37.86000061035156" customWidth="1"/>
    <x:col min="12" max="25" width="8.710000038146973" customWidth="1"/>
  </x:cols>
  <x:sheetData>
    <x:row r="1" ht="39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19.5" customHeight="1">
      <x:c r="A2" s="4" t="s">
        <x:v>1</x:v>
      </x:c>
      <x:c r="B2" s="2"/>
      <x:c r="C2" s="2"/>
      <x:c r="D2" s="2"/>
      <x:c r="E2" s="2"/>
      <x:c r="F2" s="2"/>
      <x:c r="G2" s="2"/>
      <x:c r="H2" s="2"/>
      <x:c r="I2" s="3"/>
    </x:row>
    <x:row r="4" ht="18" customHeight="1">
      <x:c r="B4" s="5" t="s">
        <x:v>2</x:v>
      </x:c>
      <x:c r="C4" s="6"/>
      <x:c r="E4" s="7" t="s">
        <x:v>3</x:v>
      </x:c>
      <x:c r="G4" s="5" t="s">
        <x:v>4</x:v>
      </x:c>
      <x:c r="H4" s="6"/>
    </x:row>
    <x:row r="5" ht="19.5" customHeight="1">
      <x:c r="B5" s="8" t="n">
        <x:f>COUNTA(D11:D45)</x:f>
        <x:v>18</x:v>
      </x:c>
      <x:c r="C5" s="9"/>
      <x:c r="E5" s="10" t="n">
        <x:f>COUNTIF(G11:G28, "Complete")</x:f>
        <x:v>12</x:v>
      </x:c>
      <x:c r="G5" s="11" t="n">
        <x:f>COUNTIF(G11:G28, "Complete") / B5</x:f>
        <x:v>0.6666666666666666</x:v>
      </x:c>
      <x:c r="H5" s="9"/>
    </x:row>
    <x:row r="6" ht="19.5" customHeight="1">
      <x:c r="B6" s="12"/>
      <x:c r="C6" s="13"/>
      <x:c r="E6" s="14"/>
      <x:c r="G6" s="12"/>
      <x:c r="H6" s="13"/>
    </x:row>
    <x:row r="7" ht="8.25" customHeight="1"/>
    <x:row r="8" ht="7.5" customHeight="1"/>
    <x:row r="9" ht="21.75" customHeight="1">
      <x:c r="A9" s="15" t="s">
        <x:v>5</x:v>
      </x:c>
      <x:c r="B9" s="2"/>
      <x:c r="C9" s="2"/>
      <x:c r="D9" s="2"/>
      <x:c r="E9" s="2"/>
      <x:c r="F9" s="2"/>
      <x:c r="G9" s="2"/>
      <x:c r="H9" s="2"/>
      <x:c r="I9" s="2"/>
      <x:c r="J9" s="3"/>
    </x:row>
    <x:row r="10" ht="27.75" customHeight="1">
      <x:c r="A10" s="16" t="s">
        <x:v>6</x:v>
      </x:c>
      <x:c r="B10" s="16" t="s">
        <x:v>7</x:v>
      </x:c>
      <x:c r="C10" s="16" t="s">
        <x:v>8</x:v>
      </x:c>
      <x:c r="D10" s="16" t="s">
        <x:v>9</x:v>
      </x:c>
      <x:c r="E10" s="16" t="s">
        <x:v>10</x:v>
      </x:c>
      <x:c r="F10" s="16" t="s">
        <x:v>11</x:v>
      </x:c>
      <x:c r="G10" s="16" t="s">
        <x:v>12</x:v>
      </x:c>
      <x:c r="H10" s="16" t="s">
        <x:v>13</x:v>
      </x:c>
      <x:c r="I10" s="16" t="s">
        <x:v>14</x:v>
      </x:c>
      <x:c r="J10" s="17" t="s">
        <x:v>15</x:v>
      </x:c>
      <x:c r="K10" s="17" t="s">
        <x:v>16</x:v>
      </x:c>
    </x:row>
    <x:row r="11">
      <x:c r="A11" s="18" t="s">
        <x:v>17</x:v>
      </x:c>
      <x:c r="B11" s="19" t="s">
        <x:v>18</x:v>
      </x:c>
      <x:c r="C11" s="19" t="s">
        <x:v>19</x:v>
      </x:c>
      <x:c r="D11" s="20" t="s">
        <x:v>20</x:v>
      </x:c>
      <x:c r="E11" s="21">
        <x:v>46269.0</x:v>
      </x:c>
      <x:c r="F11" s="22">
        <x:v>46275.0</x:v>
      </x:c>
      <x:c r="G11" s="23" t="s">
        <x:v>21</x:v>
      </x:c>
      <x:c r="H11" s="24" t="s">
        <x:v>22</x:v>
      </x:c>
      <x:c r="I11" s="20" t="s">
        <x:v>23</x:v>
      </x:c>
      <x:c r="J11" s="20" t="s">
        <x:v>23</x:v>
      </x:c>
      <x:c r="K11" s="20" t="s">
        <x:v>24</x:v>
      </x:c>
    </x:row>
    <x:row r="12">
      <x:c r="A12" s="25" t="s">
        <x:v>25</x:v>
      </x:c>
      <x:c r="B12" s="25" t="s">
        <x:v>18</x:v>
      </x:c>
      <x:c r="C12" s="25" t="s">
        <x:v>19</x:v>
      </x:c>
      <x:c r="D12" s="26" t="s">
        <x:v>26</x:v>
      </x:c>
      <x:c r="E12" s="27">
        <x:v>46269.0</x:v>
      </x:c>
      <x:c r="F12" s="28">
        <x:v>46275.0</x:v>
      </x:c>
      <x:c r="G12" s="23" t="s">
        <x:v>21</x:v>
      </x:c>
      <x:c r="H12" s="24" t="s">
        <x:v>22</x:v>
      </x:c>
      <x:c r="I12" s="26" t="s">
        <x:v>27</x:v>
      </x:c>
      <x:c r="J12" s="26" t="s">
        <x:v>27</x:v>
      </x:c>
      <x:c r="K12" s="26" t="s">
        <x:v>28</x:v>
      </x:c>
    </x:row>
    <x:row r="13">
      <x:c r="A13" s="19" t="s">
        <x:v>29</x:v>
      </x:c>
      <x:c r="B13" s="19" t="s">
        <x:v>18</x:v>
      </x:c>
      <x:c r="C13" s="19" t="s">
        <x:v>19</x:v>
      </x:c>
      <x:c r="D13" s="20" t="s">
        <x:v>30</x:v>
      </x:c>
      <x:c r="E13" s="29">
        <x:v>46276.0</x:v>
      </x:c>
      <x:c r="F13" s="22">
        <x:v>46282.0</x:v>
      </x:c>
      <x:c r="G13" s="23" t="s">
        <x:v>21</x:v>
      </x:c>
      <x:c r="H13" s="24" t="s">
        <x:v>22</x:v>
      </x:c>
      <x:c r="I13" s="30" t="s">
        <x:v>31</x:v>
      </x:c>
      <x:c r="J13" s="30" t="s">
        <x:v>31</x:v>
      </x:c>
      <x:c r="K13" s="20" t="s">
        <x:v>32</x:v>
      </x:c>
    </x:row>
    <x:row r="14">
      <x:c r="A14" s="25" t="s">
        <x:v>33</x:v>
      </x:c>
      <x:c r="B14" s="25" t="s">
        <x:v>18</x:v>
      </x:c>
      <x:c r="C14" s="25" t="s">
        <x:v>19</x:v>
      </x:c>
      <x:c r="D14" s="26" t="s">
        <x:v>34</x:v>
      </x:c>
      <x:c r="E14" s="31">
        <x:v>46276.0</x:v>
      </x:c>
      <x:c r="F14" s="28">
        <x:v>46282.0</x:v>
      </x:c>
      <x:c r="G14" s="23" t="s">
        <x:v>21</x:v>
      </x:c>
      <x:c r="H14" s="24" t="s">
        <x:v>22</x:v>
      </x:c>
      <x:c r="I14" s="32" t="s">
        <x:v>35</x:v>
      </x:c>
      <x:c r="J14" s="32" t="s">
        <x:v>35</x:v>
      </x:c>
      <x:c r="K14" s="26" t="s">
        <x:v>36</x:v>
      </x:c>
    </x:row>
    <x:row r="15">
      <x:c r="A15" s="19" t="s">
        <x:v>37</x:v>
      </x:c>
      <x:c r="B15" s="19" t="s">
        <x:v>38</x:v>
      </x:c>
      <x:c r="C15" s="19" t="s">
        <x:v>19</x:v>
      </x:c>
      <x:c r="D15" s="20" t="s">
        <x:v>39</x:v>
      </x:c>
      <x:c r="E15" s="21">
        <x:v>46283.0</x:v>
      </x:c>
      <x:c r="F15" s="22">
        <x:v>46289.0</x:v>
      </x:c>
      <x:c r="G15" s="23" t="s">
        <x:v>21</x:v>
      </x:c>
      <x:c r="H15" s="24" t="s">
        <x:v>22</x:v>
      </x:c>
      <x:c r="I15" s="20" t="s">
        <x:v>40</x:v>
      </x:c>
      <x:c r="J15" s="20" t="s">
        <x:v>40</x:v>
      </x:c>
      <x:c r="K15" s="20" t="s">
        <x:v>41</x:v>
      </x:c>
    </x:row>
    <x:row r="16">
      <x:c r="A16" s="25" t="s">
        <x:v>42</x:v>
      </x:c>
      <x:c r="B16" s="25" t="s">
        <x:v>38</x:v>
      </x:c>
      <x:c r="C16" s="25" t="s">
        <x:v>19</x:v>
      </x:c>
      <x:c r="D16" s="32" t="s">
        <x:v>43</x:v>
      </x:c>
      <x:c r="E16" s="27">
        <x:v>46283.0</x:v>
      </x:c>
      <x:c r="F16" s="28">
        <x:v>46289.0</x:v>
      </x:c>
      <x:c r="G16" s="23" t="s">
        <x:v>21</x:v>
      </x:c>
      <x:c r="H16" s="24" t="s">
        <x:v>22</x:v>
      </x:c>
      <x:c r="I16" s="32" t="s">
        <x:v>44</x:v>
      </x:c>
      <x:c r="J16" s="32" t="s">
        <x:v>44</x:v>
      </x:c>
      <x:c r="K16" s="26" t="s">
        <x:v>45</x:v>
      </x:c>
    </x:row>
    <x:row r="17">
      <x:c r="A17" s="19" t="s">
        <x:v>46</x:v>
      </x:c>
      <x:c r="B17" s="19" t="s">
        <x:v>38</x:v>
      </x:c>
      <x:c r="C17" s="19" t="s">
        <x:v>19</x:v>
      </x:c>
      <x:c r="D17" s="20" t="s">
        <x:v>47</x:v>
      </x:c>
      <x:c r="E17" s="21">
        <x:v>46283.0</x:v>
      </x:c>
      <x:c r="F17" s="22">
        <x:v>46289.0</x:v>
      </x:c>
      <x:c r="G17" s="23" t="s">
        <x:v>21</x:v>
      </x:c>
      <x:c r="H17" s="24" t="s">
        <x:v>22</x:v>
      </x:c>
      <x:c r="I17" s="20" t="s">
        <x:v>48</x:v>
      </x:c>
      <x:c r="J17" s="20" t="s">
        <x:v>48</x:v>
      </x:c>
      <x:c r="K17" s="20" t="s">
        <x:v>49</x:v>
      </x:c>
    </x:row>
    <x:row r="18" ht="26.399999618530273" hidden="0" customHeight="1">
      <x:c r="A18" s="25" t="s">
        <x:v>50</x:v>
      </x:c>
      <x:c r="B18" s="25" t="s">
        <x:v>51</x:v>
      </x:c>
      <x:c r="C18" s="25" t="s">
        <x:v>19</x:v>
      </x:c>
      <x:c r="D18" s="26" t="s">
        <x:v>52</x:v>
      </x:c>
      <x:c r="E18" s="27">
        <x:v>46290.0</x:v>
      </x:c>
      <x:c r="F18" s="28">
        <x:v>46296.0</x:v>
      </x:c>
      <x:c r="G18" s="23" t="str">
        <x:v>Complete</x:v>
      </x:c>
      <x:c r="H18" s="24" t="s">
        <x:v>22</x:v>
      </x:c>
      <x:c r="I18" s="39" t="str">
        <x:v>40 normalization pairs; 60 answer triples. Fixed 20 groups; adviser amendment 2026-10-26.</x:v>
      </x:c>
      <x:c r="J18" s="39" t="str">
        <x:v>40 normalization pairs; 60 answer triples. Fixed 20 groups; adviser amendment 2026-10-26.</x:v>
      </x:c>
      <x:c r="K18" s="39" t="str">
        <x:v>Three two-module packets verified. Post-T07 selection timing disclosed.</x:v>
      </x:c>
    </x:row>
    <x:row r="19" ht="26.399999618530273" hidden="0" customHeight="1">
      <x:c r="A19" s="19" t="s">
        <x:v>53</x:v>
      </x:c>
      <x:c r="B19" s="19" t="s">
        <x:v>51</x:v>
      </x:c>
      <x:c r="C19" s="19" t="s">
        <x:v>19</x:v>
      </x:c>
      <x:c r="D19" s="30" t="s">
        <x:v>54</x:v>
      </x:c>
      <x:c r="E19" s="21">
        <x:v>46290.0</x:v>
      </x:c>
      <x:c r="F19" s="22">
        <x:v>46296.0</x:v>
      </x:c>
      <x:c r="G19" s="23" t="str">
        <x:v>Complete</x:v>
      </x:c>
      <x:c r="H19" s="24" t="s">
        <x:v>22</x:v>
      </x:c>
      <x:c r="I19" s="40" t="str">
        <x:v>M1 fidelity 1-5; M2 relevance and faithfulness 1-4. Separate validated exports.</x:v>
      </x:c>
      <x:c r="J19" s="40" t="str">
        <x:v>M1 fidelity 1-5; M2 relevance and faithfulness 1-4. Separate validated exports.</x:v>
      </x:c>
      <x:c r="K19" s="40" t="str">
        <x:v>Two-module interface implemented; original Table 2 retained for M2.</x:v>
      </x:c>
    </x:row>
    <x:row r="20" ht="26.399999618530273" hidden="0" customHeight="1">
      <x:c r="A20" s="25" t="s">
        <x:v>55</x:v>
      </x:c>
      <x:c r="B20" s="25" t="s">
        <x:v>51</x:v>
      </x:c>
      <x:c r="C20" s="25" t="s">
        <x:v>19</x:v>
      </x:c>
      <x:c r="D20" s="32" t="s">
        <x:v>56</x:v>
      </x:c>
      <x:c r="E20" s="27">
        <x:v>46290.0</x:v>
      </x:c>
      <x:c r="F20" s="28">
        <x:v>46296.0</x:v>
      </x:c>
      <x:c r="G20" s="23" t="str">
        <x:v>Complete</x:v>
      </x:c>
      <x:c r="H20" s="24" t="s">
        <x:v>22</x:v>
      </x:c>
      <x:c r="I20" s="39" t="str">
        <x:v>3 experts: 240 M1 records and 540 M2 records; 1,320 scores validated.</x:v>
      </x:c>
      <x:c r="J20" s="39" t="str">
        <x:v>3 experts: 240 M1 records and 540 M2 records; 1,320 scores validated.</x:v>
      </x:c>
      <x:c r="K20" s="39" t="str">
        <x:v>Independent scoring confirmed by researcher. Original provenance correction preserved.</x:v>
      </x:c>
    </x:row>
    <x:row r="21" ht="26.399999618530273" hidden="0" customHeight="1">
      <x:c r="A21" s="19" t="s">
        <x:v>57</x:v>
      </x:c>
      <x:c r="B21" s="19" t="s">
        <x:v>58</x:v>
      </x:c>
      <x:c r="C21" s="19" t="s">
        <x:v>59</x:v>
      </x:c>
      <x:c r="D21" s="20" t="s">
        <x:v>60</x:v>
      </x:c>
      <x:c r="E21" s="21">
        <x:v>46290.0</x:v>
      </x:c>
      <x:c r="F21" s="22">
        <x:v>46296.0</x:v>
      </x:c>
      <x:c r="G21" s="23" t="str">
        <x:v>Complete</x:v>
      </x:c>
      <x:c r="H21" s="24" t="s">
        <x:v>61</x:v>
      </x:c>
      <x:c r="I21" s="40" t="str">
        <x:v>Ordinal alpha: fidelity .9354; relevance .9112; faithfulness .8732. Target .80 met.</x:v>
      </x:c>
      <x:c r="J21" s="40" t="str">
        <x:v>Ordinal alpha: fidelity .9354; relevance .9112; faithfulness .8732. Target .80 met.</x:v>
      </x:c>
      <x:c r="K21" s="40" t="str">
        <x:v>Analysis complete; cluster-bootstrap CIs and provenance limits in T10_T12_REPORT.md.</x:v>
      </x:c>
    </x:row>
    <x:row r="22" ht="39.599998474121094" hidden="0" customHeight="1">
      <x:c r="A22" s="25" t="s">
        <x:v>62</x:v>
      </x:c>
      <x:c r="B22" s="25" t="s">
        <x:v>58</x:v>
      </x:c>
      <x:c r="C22" s="25" t="s">
        <x:v>59</x:v>
      </x:c>
      <x:c r="D22" s="26" t="s">
        <x:v>63</x:v>
      </x:c>
      <x:c r="E22" s="27">
        <x:v>46290.0</x:v>
      </x:c>
      <x:c r="F22" s="28">
        <x:v>46296.0</x:v>
      </x:c>
      <x:c r="G22" s="23" t="str">
        <x:v>Complete</x:v>
      </x:c>
      <x:c r="H22" s="24" t="s">
        <x:v>61</x:v>
      </x:c>
      <x:c r="I22" s="39" t="str">
        <x:v>20 paired scenario groups; seven exact tests with Holm correction. No significant differences.</x:v>
      </x:c>
      <x:c r="J22" s="39" t="str">
        <x:v>20 paired scenario groups; seven exact tests with Holm correction. No significant differences.</x:v>
      </x:c>
      <x:c r="K22" s="39" t="str">
        <x:v>Exploratory human comparison complete. No superiority established. See paired_comparisons.csv.</x:v>
      </x:c>
    </x:row>
    <x:row r="23">
      <x:c r="A23" s="19" t="s">
        <x:v>64</x:v>
      </x:c>
      <x:c r="B23" s="19" t="s">
        <x:v>58</x:v>
      </x:c>
      <x:c r="C23" s="19" t="s">
        <x:v>59</x:v>
      </x:c>
      <x:c r="D23" s="30" t="s">
        <x:v>65</x:v>
      </x:c>
      <x:c r="E23" s="21">
        <x:v>46290.0</x:v>
      </x:c>
      <x:c r="F23" s="22">
        <x:v>46296.0</x:v>
      </x:c>
      <x:c r="G23" s="24" t="s">
        <x:v>66</x:v>
      </x:c>
      <x:c r="H23" s="24" t="s">
        <x:v>22</x:v>
      </x:c>
      <x:c r="I23" s="30" t="s">
        <x:v>67</x:v>
      </x:c>
      <x:c r="J23" s="30" t="s">
        <x:v>67</x:v>
      </x:c>
      <x:c r="K23" s="20" t="s">
        <x:v>68</x:v>
      </x:c>
    </x:row>
    <x:row r="24">
      <x:c r="A24" s="25" t="s">
        <x:v>69</x:v>
      </x:c>
      <x:c r="B24" s="25" t="s">
        <x:v>70</x:v>
      </x:c>
      <x:c r="C24" s="25" t="s">
        <x:v>71</x:v>
      </x:c>
      <x:c r="D24" s="32" t="s">
        <x:v>72</x:v>
      </x:c>
      <x:c r="E24" s="27">
        <x:v>46297.0</x:v>
      </x:c>
      <x:c r="F24" s="28">
        <x:v>46303.0</x:v>
      </x:c>
      <x:c r="G24" s="24" t="s">
        <x:v>66</x:v>
      </x:c>
      <x:c r="H24" s="24" t="s">
        <x:v>22</x:v>
      </x:c>
      <x:c r="I24" s="32" t="s">
        <x:v>73</x:v>
      </x:c>
      <x:c r="J24" s="32" t="s">
        <x:v>73</x:v>
      </x:c>
      <x:c r="K24" s="26" t="s">
        <x:v>74</x:v>
      </x:c>
    </x:row>
    <x:row r="25">
      <x:c r="A25" s="19" t="s">
        <x:v>75</x:v>
      </x:c>
      <x:c r="B25" s="19" t="s">
        <x:v>70</x:v>
      </x:c>
      <x:c r="C25" s="19" t="s">
        <x:v>76</x:v>
      </x:c>
      <x:c r="D25" s="20" t="s">
        <x:v>77</x:v>
      </x:c>
      <x:c r="E25" s="21">
        <x:v>46297.0</x:v>
      </x:c>
      <x:c r="F25" s="22">
        <x:v>46303.0</x:v>
      </x:c>
      <x:c r="G25" s="24" t="s">
        <x:v>66</x:v>
      </x:c>
      <x:c r="H25" s="24" t="s">
        <x:v>22</x:v>
      </x:c>
      <x:c r="I25" s="30" t="s">
        <x:v>78</x:v>
      </x:c>
      <x:c r="J25" s="30" t="s">
        <x:v>78</x:v>
      </x:c>
      <x:c r="K25" s="20" t="s">
        <x:v>79</x:v>
      </x:c>
    </x:row>
    <x:row r="26">
      <x:c r="A26" s="25" t="s">
        <x:v>80</x:v>
      </x:c>
      <x:c r="B26" s="25" t="s">
        <x:v>81</x:v>
      </x:c>
      <x:c r="C26" s="25" t="s">
        <x:v>82</x:v>
      </x:c>
      <x:c r="D26" s="32" t="s">
        <x:v>83</x:v>
      </x:c>
      <x:c r="E26" s="27">
        <x:v>46304.0</x:v>
      </x:c>
      <x:c r="F26" s="28">
        <x:v>46312.0</x:v>
      </x:c>
      <x:c r="G26" s="24" t="s">
        <x:v>66</x:v>
      </x:c>
      <x:c r="H26" s="24" t="s">
        <x:v>22</x:v>
      </x:c>
      <x:c r="I26" s="32" t="s">
        <x:v>84</x:v>
      </x:c>
      <x:c r="J26" s="32" t="s">
        <x:v>84</x:v>
      </x:c>
      <x:c r="K26" s="26" t="s">
        <x:v>85</x:v>
      </x:c>
    </x:row>
    <x:row r="27">
      <x:c r="A27" s="19" t="s">
        <x:v>86</x:v>
      </x:c>
      <x:c r="B27" s="19" t="s">
        <x:v>81</x:v>
      </x:c>
      <x:c r="C27" s="19" t="s">
        <x:v>82</x:v>
      </x:c>
      <x:c r="D27" s="20" t="s">
        <x:v>87</x:v>
      </x:c>
      <x:c r="E27" s="21">
        <x:v>46304.0</x:v>
      </x:c>
      <x:c r="F27" s="22">
        <x:v>46312.0</x:v>
      </x:c>
      <x:c r="G27" s="24" t="s">
        <x:v>66</x:v>
      </x:c>
      <x:c r="H27" s="24" t="s">
        <x:v>22</x:v>
      </x:c>
      <x:c r="I27" s="30" t="s">
        <x:v>88</x:v>
      </x:c>
      <x:c r="J27" s="30" t="s">
        <x:v>88</x:v>
      </x:c>
      <x:c r="K27" s="20" t="s">
        <x:v>89</x:v>
      </x:c>
    </x:row>
    <x:row r="28">
      <x:c r="A28" s="25" t="s">
        <x:v>90</x:v>
      </x:c>
      <x:c r="B28" s="25" t="s">
        <x:v>81</x:v>
      </x:c>
      <x:c r="C28" s="25" t="s">
        <x:v>82</x:v>
      </x:c>
      <x:c r="D28" s="32" t="s">
        <x:v>91</x:v>
      </x:c>
      <x:c r="E28" s="28">
        <x:v>46312.0</x:v>
      </x:c>
      <x:c r="F28" s="33">
        <x:v>46318.0</x:v>
      </x:c>
      <x:c r="G28" s="24" t="s">
        <x:v>66</x:v>
      </x:c>
      <x:c r="H28" s="24" t="s">
        <x:v>22</x:v>
      </x:c>
      <x:c r="I28" s="32" t="s">
        <x:v>92</x:v>
      </x:c>
      <x:c r="J28" s="32" t="s">
        <x:v>92</x:v>
      </x:c>
      <x:c r="K28" s="26" t="s">
        <x:v>93</x:v>
      </x:c>
    </x:row>
    <x:row r="29" ht="19.5" customHeight="1">
      <x:c r="A29" s="19" t="s">
        <x:v>94</x:v>
      </x:c>
      <x:c r="B29" s="19"/>
      <x:c r="C29" s="19"/>
      <x:c r="D29" s="34"/>
      <x:c r="E29" s="19"/>
      <x:c r="F29" s="19"/>
      <x:c r="G29" s="24" t="s">
        <x:v>66</x:v>
      </x:c>
      <x:c r="H29" s="24" t="s">
        <x:v>61</x:v>
      </x:c>
      <x:c r="I29" s="34"/>
    </x:row>
    <x:row r="30" ht="19.5" customHeight="1">
      <x:c r="A30" s="25" t="s">
        <x:v>95</x:v>
      </x:c>
      <x:c r="B30" s="25"/>
      <x:c r="C30" s="25"/>
      <x:c r="D30" s="35"/>
      <x:c r="E30" s="25"/>
      <x:c r="F30" s="25"/>
      <x:c r="G30" s="24" t="s">
        <x:v>66</x:v>
      </x:c>
      <x:c r="H30" s="24" t="s">
        <x:v>61</x:v>
      </x:c>
      <x:c r="I30" s="35"/>
    </x:row>
    <x:row r="31" ht="19.5" customHeight="1">
      <x:c r="A31" s="19" t="s">
        <x:v>96</x:v>
      </x:c>
      <x:c r="B31" s="19"/>
      <x:c r="C31" s="19"/>
      <x:c r="D31" s="34"/>
      <x:c r="E31" s="19"/>
      <x:c r="F31" s="19"/>
      <x:c r="G31" s="24" t="s">
        <x:v>66</x:v>
      </x:c>
      <x:c r="H31" s="24" t="s">
        <x:v>61</x:v>
      </x:c>
      <x:c r="I31" s="34"/>
    </x:row>
    <x:row r="32" ht="19.5" customHeight="1">
      <x:c r="A32" s="25" t="s">
        <x:v>97</x:v>
      </x:c>
      <x:c r="B32" s="25"/>
      <x:c r="C32" s="25"/>
      <x:c r="D32" s="35"/>
      <x:c r="E32" s="25"/>
      <x:c r="F32" s="25"/>
      <x:c r="G32" s="24" t="s">
        <x:v>66</x:v>
      </x:c>
      <x:c r="H32" s="24" t="s">
        <x:v>61</x:v>
      </x:c>
      <x:c r="I32" s="35"/>
    </x:row>
    <x:row r="33" ht="19.5" customHeight="1">
      <x:c r="A33" s="19" t="s">
        <x:v>98</x:v>
      </x:c>
      <x:c r="B33" s="19"/>
      <x:c r="C33" s="19"/>
      <x:c r="D33" s="34"/>
      <x:c r="E33" s="19"/>
      <x:c r="F33" s="19"/>
      <x:c r="G33" s="24" t="s">
        <x:v>66</x:v>
      </x:c>
      <x:c r="H33" s="24" t="s">
        <x:v>61</x:v>
      </x:c>
      <x:c r="I33" s="34"/>
    </x:row>
    <x:row r="34" ht="19.5" customHeight="1">
      <x:c r="A34" s="25" t="s">
        <x:v>99</x:v>
      </x:c>
      <x:c r="B34" s="25"/>
      <x:c r="C34" s="25"/>
      <x:c r="D34" s="35"/>
      <x:c r="E34" s="25"/>
      <x:c r="F34" s="25"/>
      <x:c r="G34" s="24" t="s">
        <x:v>66</x:v>
      </x:c>
      <x:c r="H34" s="24" t="s">
        <x:v>61</x:v>
      </x:c>
      <x:c r="I34" s="35"/>
    </x:row>
    <x:row r="35" ht="19.5" customHeight="1">
      <x:c r="A35" s="19" t="s">
        <x:v>100</x:v>
      </x:c>
      <x:c r="B35" s="19"/>
      <x:c r="C35" s="19"/>
      <x:c r="D35" s="34"/>
      <x:c r="E35" s="19"/>
      <x:c r="F35" s="19"/>
      <x:c r="G35" s="24" t="s">
        <x:v>66</x:v>
      </x:c>
      <x:c r="H35" s="24" t="s">
        <x:v>61</x:v>
      </x:c>
      <x:c r="I35" s="34"/>
    </x:row>
    <x:row r="36" ht="19.5" customHeight="1">
      <x:c r="A36" s="25" t="s">
        <x:v>101</x:v>
      </x:c>
      <x:c r="B36" s="25"/>
      <x:c r="C36" s="25"/>
      <x:c r="D36" s="35"/>
      <x:c r="E36" s="25"/>
      <x:c r="F36" s="25"/>
      <x:c r="G36" s="24" t="s">
        <x:v>66</x:v>
      </x:c>
      <x:c r="H36" s="24" t="s">
        <x:v>61</x:v>
      </x:c>
      <x:c r="I36" s="35"/>
    </x:row>
    <x:row r="37" ht="19.5" customHeight="1">
      <x:c r="A37" s="19" t="s">
        <x:v>102</x:v>
      </x:c>
      <x:c r="B37" s="19"/>
      <x:c r="C37" s="19"/>
      <x:c r="D37" s="34"/>
      <x:c r="E37" s="19"/>
      <x:c r="F37" s="19"/>
      <x:c r="G37" s="24" t="s">
        <x:v>66</x:v>
      </x:c>
      <x:c r="H37" s="24" t="s">
        <x:v>61</x:v>
      </x:c>
      <x:c r="I37" s="34"/>
    </x:row>
    <x:row r="38" ht="19.5" customHeight="1">
      <x:c r="A38" s="25" t="s">
        <x:v>103</x:v>
      </x:c>
      <x:c r="B38" s="25"/>
      <x:c r="C38" s="25"/>
      <x:c r="D38" s="35"/>
      <x:c r="E38" s="25"/>
      <x:c r="F38" s="25"/>
      <x:c r="G38" s="24" t="s">
        <x:v>66</x:v>
      </x:c>
      <x:c r="H38" s="24" t="s">
        <x:v>61</x:v>
      </x:c>
      <x:c r="I38" s="35"/>
    </x:row>
    <x:row r="39" ht="19.5" customHeight="1">
      <x:c r="A39" s="19" t="s">
        <x:v>104</x:v>
      </x:c>
      <x:c r="B39" s="19"/>
      <x:c r="C39" s="19"/>
      <x:c r="D39" s="34"/>
      <x:c r="E39" s="19"/>
      <x:c r="F39" s="19"/>
      <x:c r="G39" s="24" t="s">
        <x:v>66</x:v>
      </x:c>
      <x:c r="H39" s="24" t="s">
        <x:v>61</x:v>
      </x:c>
      <x:c r="I39" s="34"/>
    </x:row>
    <x:row r="40" ht="19.5" customHeight="1">
      <x:c r="A40" s="25" t="s">
        <x:v>105</x:v>
      </x:c>
      <x:c r="B40" s="25"/>
      <x:c r="C40" s="25"/>
      <x:c r="D40" s="35"/>
      <x:c r="E40" s="25"/>
      <x:c r="F40" s="25"/>
      <x:c r="G40" s="24" t="s">
        <x:v>66</x:v>
      </x:c>
      <x:c r="H40" s="24" t="s">
        <x:v>61</x:v>
      </x:c>
      <x:c r="I40" s="35"/>
    </x:row>
    <x:row r="41" ht="19.5" customHeight="1">
      <x:c r="A41" s="19" t="s">
        <x:v>106</x:v>
      </x:c>
      <x:c r="B41" s="19"/>
      <x:c r="C41" s="19"/>
      <x:c r="D41" s="34"/>
      <x:c r="E41" s="19"/>
      <x:c r="F41" s="19"/>
      <x:c r="G41" s="24" t="s">
        <x:v>66</x:v>
      </x:c>
      <x:c r="H41" s="24" t="s">
        <x:v>61</x:v>
      </x:c>
      <x:c r="I41" s="34"/>
    </x:row>
    <x:row r="42" ht="19.5" customHeight="1">
      <x:c r="A42" s="25" t="s">
        <x:v>107</x:v>
      </x:c>
      <x:c r="B42" s="25"/>
      <x:c r="C42" s="25"/>
      <x:c r="D42" s="35"/>
      <x:c r="E42" s="25"/>
      <x:c r="F42" s="25"/>
      <x:c r="G42" s="24" t="s">
        <x:v>66</x:v>
      </x:c>
      <x:c r="H42" s="24" t="s">
        <x:v>61</x:v>
      </x:c>
      <x:c r="I42" s="35"/>
    </x:row>
    <x:row r="43" ht="19.5" customHeight="1">
      <x:c r="A43" s="19" t="s">
        <x:v>108</x:v>
      </x:c>
      <x:c r="B43" s="19"/>
      <x:c r="C43" s="19"/>
      <x:c r="D43" s="34"/>
      <x:c r="E43" s="19"/>
      <x:c r="F43" s="19"/>
      <x:c r="G43" s="24" t="s">
        <x:v>66</x:v>
      </x:c>
      <x:c r="H43" s="24" t="s">
        <x:v>61</x:v>
      </x:c>
      <x:c r="I43" s="34"/>
    </x:row>
    <x:row r="44" ht="15.75" customHeight="1">
      <x:c r="G44" s="36"/>
      <x:c r="H44" s="36"/>
    </x:row>
    <x:row r="45" ht="15.75" customHeight="1">
      <x:c r="G45" s="36"/>
      <x:c r="H45" s="36"/>
    </x:row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  <x:mergeCell ref="B4:C4"/>
    <x:mergeCell ref="G4:H4"/>
    <x:mergeCell ref="B5:C6"/>
    <x:mergeCell ref="E5:E6"/>
    <x:mergeCell ref="G5:H6"/>
    <x:mergeCell ref="A9:J9"/>
  </x:mergeCells>
  <x:conditionalFormatting sqref="G11:G1000">
    <x:cfRule type="cellIs" dxfId="0" priority="1" operator="equal">
      <x:formula>"Complete"</x:formula>
    </x:cfRule>
  </x:conditionalFormatting>
  <x:conditionalFormatting sqref="G11:G1000">
    <x:cfRule type="cellIs" dxfId="1" priority="2" operator="equal">
      <x:formula>"Blocked"</x:formula>
    </x:cfRule>
  </x:conditionalFormatting>
  <x:conditionalFormatting sqref="G11:G1000">
    <x:cfRule type="cellIs" dxfId="2" priority="3" operator="equal">
      <x:formula>"In Progress"</x:formula>
    </x:cfRule>
  </x:conditionalFormatting>
  <x:dataValidations count="2">
    <x:dataValidation type="list" allowBlank="1" sqref="G11:G45">
      <x:formula1>"Not Started,In Progress,Complete,Blocked"</x:formula1>
    </x:dataValidation>
    <x:dataValidation type="list" allowBlank="1" sqref="H11:H45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6" max="6" width="134.86000061035156" customWidth="1"/>
    <x:col min="7" max="7" width="93" customWidth="1"/>
  </x:cols>
  <x:sheetData>
    <x:row r="5">
      <x:c r="C5" s="37" t="s">
        <x:v>6</x:v>
      </x:c>
      <x:c r="D5" s="37" t="s">
        <x:v>7</x:v>
      </x:c>
      <x:c r="E5" s="37" t="s">
        <x:v>8</x:v>
      </x:c>
      <x:c r="F5" s="37" t="s">
        <x:v>109</x:v>
      </x:c>
      <x:c r="G5" s="37" t="s">
        <x:v>110</x:v>
      </x:c>
      <x:c r="H5" s="37" t="s">
        <x:v>10</x:v>
      </x:c>
      <x:c r="I5" s="37" t="s">
        <x:v>11</x:v>
      </x:c>
      <x:c r="J5" s="37" t="s">
        <x:v>12</x:v>
      </x:c>
      <x:c r="K5" s="37" t="s">
        <x:v>13</x:v>
      </x:c>
      <x:c r="L5" s="37" t="s">
        <x:v>14</x:v>
      </x:c>
    </x:row>
    <x:row r="6">
      <x:c r="C6" s="37" t="s">
        <x:v>17</x:v>
      </x:c>
      <x:c r="D6" s="37" t="s">
        <x:v>18</x:v>
      </x:c>
      <x:c r="E6" s="37" t="s">
        <x:v>19</x:v>
      </x:c>
      <x:c r="F6" s="37" t="s">
        <x:v>111</x:v>
      </x:c>
      <x:c r="G6" s="37" t="s">
        <x:v>112</x:v>
      </x:c>
      <x:c r="H6" s="38">
        <x:v>46269.0</x:v>
      </x:c>
      <x:c r="I6" s="38">
        <x:v>46275.0</x:v>
      </x:c>
      <x:c r="J6" s="37" t="s">
        <x:v>113</x:v>
      </x:c>
      <x:c r="K6" s="37" t="s">
        <x:v>22</x:v>
      </x:c>
      <x:c r="L6" s="37" t="s">
        <x:v>24</x:v>
      </x:c>
    </x:row>
    <x:row r="7">
      <x:c r="C7" s="37" t="s">
        <x:v>25</x:v>
      </x:c>
      <x:c r="D7" s="37" t="s">
        <x:v>18</x:v>
      </x:c>
      <x:c r="E7" s="37" t="s">
        <x:v>19</x:v>
      </x:c>
      <x:c r="F7" s="37" t="s">
        <x:v>114</x:v>
      </x:c>
      <x:c r="G7" s="37" t="s">
        <x:v>115</x:v>
      </x:c>
      <x:c r="H7" s="38">
        <x:v>46269.0</x:v>
      </x:c>
      <x:c r="I7" s="38">
        <x:v>46275.0</x:v>
      </x:c>
      <x:c r="J7" s="37" t="s">
        <x:v>113</x:v>
      </x:c>
      <x:c r="K7" s="37" t="s">
        <x:v>22</x:v>
      </x:c>
      <x:c r="L7" s="37" t="s">
        <x:v>28</x:v>
      </x:c>
    </x:row>
    <x:row r="8">
      <x:c r="C8" s="37" t="s">
        <x:v>29</x:v>
      </x:c>
      <x:c r="D8" s="37" t="s">
        <x:v>18</x:v>
      </x:c>
      <x:c r="E8" s="37" t="s">
        <x:v>19</x:v>
      </x:c>
      <x:c r="F8" s="37" t="s">
        <x:v>116</x:v>
      </x:c>
      <x:c r="G8" s="37" t="s">
        <x:v>117</x:v>
      </x:c>
      <x:c r="H8" s="38">
        <x:v>46276.0</x:v>
      </x:c>
      <x:c r="I8" s="38">
        <x:v>46282.0</x:v>
      </x:c>
      <x:c r="J8" s="37" t="s">
        <x:v>66</x:v>
      </x:c>
      <x:c r="K8" s="37" t="s">
        <x:v>22</x:v>
      </x:c>
      <x:c r="L8" s="37" t="s">
        <x:v>32</x:v>
      </x:c>
    </x:row>
    <x:row r="9">
      <x:c r="C9" s="37" t="s">
        <x:v>33</x:v>
      </x:c>
      <x:c r="D9" s="37" t="s">
        <x:v>18</x:v>
      </x:c>
      <x:c r="E9" s="37" t="s">
        <x:v>19</x:v>
      </x:c>
      <x:c r="F9" s="37" t="s">
        <x:v>118</x:v>
      </x:c>
      <x:c r="G9" s="37" t="s">
        <x:v>119</x:v>
      </x:c>
      <x:c r="H9" s="38">
        <x:v>46276.0</x:v>
      </x:c>
      <x:c r="I9" s="38">
        <x:v>46282.0</x:v>
      </x:c>
      <x:c r="J9" s="37" t="s">
        <x:v>66</x:v>
      </x:c>
      <x:c r="K9" s="37" t="s">
        <x:v>22</x:v>
      </x:c>
      <x:c r="L9" s="37" t="s">
        <x:v>36</x:v>
      </x:c>
    </x:row>
    <x:row r="10">
      <x:c r="C10" s="37" t="s">
        <x:v>37</x:v>
      </x:c>
      <x:c r="D10" s="37" t="s">
        <x:v>38</x:v>
      </x:c>
      <x:c r="E10" s="37" t="s">
        <x:v>19</x:v>
      </x:c>
      <x:c r="F10" s="37" t="s">
        <x:v>120</x:v>
      </x:c>
      <x:c r="G10" s="37" t="s">
        <x:v>121</x:v>
      </x:c>
      <x:c r="H10" s="38">
        <x:v>46283.0</x:v>
      </x:c>
      <x:c r="I10" s="38">
        <x:v>46289.0</x:v>
      </x:c>
      <x:c r="J10" s="37" t="s">
        <x:v>66</x:v>
      </x:c>
      <x:c r="K10" s="37" t="s">
        <x:v>22</x:v>
      </x:c>
      <x:c r="L10" s="37" t="s">
        <x:v>41</x:v>
      </x:c>
    </x:row>
    <x:row r="11">
      <x:c r="C11" s="37" t="s">
        <x:v>42</x:v>
      </x:c>
      <x:c r="D11" s="37" t="s">
        <x:v>38</x:v>
      </x:c>
      <x:c r="E11" s="37" t="s">
        <x:v>19</x:v>
      </x:c>
      <x:c r="F11" s="37" t="s">
        <x:v>122</x:v>
      </x:c>
      <x:c r="G11" s="37" t="s">
        <x:v>123</x:v>
      </x:c>
      <x:c r="H11" s="38">
        <x:v>46283.0</x:v>
      </x:c>
      <x:c r="I11" s="38">
        <x:v>46289.0</x:v>
      </x:c>
      <x:c r="J11" s="37" t="s">
        <x:v>66</x:v>
      </x:c>
      <x:c r="K11" s="37" t="s">
        <x:v>22</x:v>
      </x:c>
      <x:c r="L11" s="37" t="s">
        <x:v>45</x:v>
      </x:c>
    </x:row>
    <x:row r="12">
      <x:c r="C12" s="37" t="s">
        <x:v>46</x:v>
      </x:c>
      <x:c r="D12" s="37" t="s">
        <x:v>38</x:v>
      </x:c>
      <x:c r="E12" s="37" t="s">
        <x:v>19</x:v>
      </x:c>
      <x:c r="F12" s="37" t="s">
        <x:v>124</x:v>
      </x:c>
      <x:c r="G12" s="37" t="s">
        <x:v>125</x:v>
      </x:c>
      <x:c r="H12" s="38">
        <x:v>46283.0</x:v>
      </x:c>
      <x:c r="I12" s="38">
        <x:v>46289.0</x:v>
      </x:c>
      <x:c r="J12" s="37" t="s">
        <x:v>66</x:v>
      </x:c>
      <x:c r="K12" s="37" t="s">
        <x:v>22</x:v>
      </x:c>
      <x:c r="L12" s="37" t="s">
        <x:v>49</x:v>
      </x:c>
    </x:row>
    <x:row r="13">
      <x:c r="C13" s="37" t="s">
        <x:v>50</x:v>
      </x:c>
      <x:c r="D13" s="37" t="s">
        <x:v>51</x:v>
      </x:c>
      <x:c r="E13" s="37" t="s">
        <x:v>19</x:v>
      </x:c>
      <x:c r="F13" s="37" t="s">
        <x:v>126</x:v>
      </x:c>
      <x:c r="G13" s="37" t="s">
        <x:v>127</x:v>
      </x:c>
      <x:c r="H13" s="38">
        <x:v>46290.0</x:v>
      </x:c>
      <x:c r="I13" s="38">
        <x:v>46296.0</x:v>
      </x:c>
      <x:c r="J13" s="37" t="s">
        <x:v>66</x:v>
      </x:c>
      <x:c r="K13" s="37" t="s">
        <x:v>22</x:v>
      </x:c>
      <x:c r="L13" s="37" t="s">
        <x:v>128</x:v>
      </x:c>
    </x:row>
    <x:row r="14">
      <x:c r="C14" s="37" t="s">
        <x:v>53</x:v>
      </x:c>
      <x:c r="D14" s="37" t="s">
        <x:v>51</x:v>
      </x:c>
      <x:c r="E14" s="37" t="s">
        <x:v>19</x:v>
      </x:c>
      <x:c r="F14" s="37" t="s">
        <x:v>129</x:v>
      </x:c>
      <x:c r="G14" s="37" t="s">
        <x:v>130</x:v>
      </x:c>
      <x:c r="H14" s="38">
        <x:v>46290.0</x:v>
      </x:c>
      <x:c r="I14" s="38">
        <x:v>46296.0</x:v>
      </x:c>
      <x:c r="J14" s="37" t="s">
        <x:v>66</x:v>
      </x:c>
      <x:c r="K14" s="37" t="s">
        <x:v>22</x:v>
      </x:c>
      <x:c r="L14" s="37" t="s">
        <x:v>131</x:v>
      </x:c>
    </x:row>
    <x:row r="15">
      <x:c r="C15" s="37" t="s">
        <x:v>55</x:v>
      </x:c>
      <x:c r="D15" s="37" t="s">
        <x:v>51</x:v>
      </x:c>
      <x:c r="E15" s="37" t="s">
        <x:v>19</x:v>
      </x:c>
      <x:c r="F15" s="37" t="s">
        <x:v>132</x:v>
      </x:c>
      <x:c r="G15" s="37" t="s">
        <x:v>133</x:v>
      </x:c>
      <x:c r="H15" s="38">
        <x:v>46290.0</x:v>
      </x:c>
      <x:c r="I15" s="38">
        <x:v>46296.0</x:v>
      </x:c>
      <x:c r="J15" s="37" t="s">
        <x:v>66</x:v>
      </x:c>
      <x:c r="K15" s="37" t="s">
        <x:v>22</x:v>
      </x:c>
      <x:c r="L15" s="37" t="s">
        <x:v>134</x:v>
      </x:c>
    </x:row>
    <x:row r="16">
      <x:c r="C16" s="37" t="s">
        <x:v>57</x:v>
      </x:c>
      <x:c r="D16" s="37" t="s">
        <x:v>58</x:v>
      </x:c>
      <x:c r="E16" s="37" t="s">
        <x:v>59</x:v>
      </x:c>
      <x:c r="F16" s="37" t="s">
        <x:v>135</x:v>
      </x:c>
      <x:c r="G16" s="37" t="s">
        <x:v>136</x:v>
      </x:c>
      <x:c r="H16" s="38">
        <x:v>46290.0</x:v>
      </x:c>
      <x:c r="I16" s="38">
        <x:v>46296.0</x:v>
      </x:c>
      <x:c r="J16" s="37" t="s">
        <x:v>66</x:v>
      </x:c>
      <x:c r="K16" s="37" t="s">
        <x:v>61</x:v>
      </x:c>
      <x:c r="L16" s="37" t="s">
        <x:v>137</x:v>
      </x:c>
    </x:row>
    <x:row r="17">
      <x:c r="C17" s="37" t="s">
        <x:v>62</x:v>
      </x:c>
      <x:c r="D17" s="37" t="s">
        <x:v>58</x:v>
      </x:c>
      <x:c r="E17" s="37" t="s">
        <x:v>59</x:v>
      </x:c>
      <x:c r="F17" s="37" t="s">
        <x:v>138</x:v>
      </x:c>
      <x:c r="G17" s="37" t="s">
        <x:v>139</x:v>
      </x:c>
      <x:c r="H17" s="38">
        <x:v>46290.0</x:v>
      </x:c>
      <x:c r="I17" s="38">
        <x:v>46296.0</x:v>
      </x:c>
      <x:c r="J17" s="37" t="s">
        <x:v>66</x:v>
      </x:c>
      <x:c r="K17" s="37" t="s">
        <x:v>61</x:v>
      </x:c>
      <x:c r="L17" s="37" t="s">
        <x:v>140</x:v>
      </x:c>
    </x:row>
    <x:row r="18">
      <x:c r="C18" s="37" t="s">
        <x:v>64</x:v>
      </x:c>
      <x:c r="D18" s="37" t="s">
        <x:v>58</x:v>
      </x:c>
      <x:c r="E18" s="37" t="s">
        <x:v>59</x:v>
      </x:c>
      <x:c r="F18" s="37" t="s">
        <x:v>141</x:v>
      </x:c>
      <x:c r="G18" s="37" t="s">
        <x:v>142</x:v>
      </x:c>
      <x:c r="H18" s="38">
        <x:v>46290.0</x:v>
      </x:c>
      <x:c r="I18" s="38">
        <x:v>46296.0</x:v>
      </x:c>
      <x:c r="J18" s="37" t="s">
        <x:v>66</x:v>
      </x:c>
      <x:c r="K18" s="37" t="s">
        <x:v>22</x:v>
      </x:c>
      <x:c r="L18" s="37" t="s">
        <x:v>68</x:v>
      </x:c>
    </x:row>
    <x:row r="19">
      <x:c r="C19" s="37" t="s">
        <x:v>69</x:v>
      </x:c>
      <x:c r="D19" s="37" t="s">
        <x:v>70</x:v>
      </x:c>
      <x:c r="E19" s="37" t="s">
        <x:v>71</x:v>
      </x:c>
      <x:c r="F19" s="37" t="s">
        <x:v>143</x:v>
      </x:c>
      <x:c r="G19" s="37" t="s">
        <x:v>144</x:v>
      </x:c>
      <x:c r="H19" s="38">
        <x:v>46297.0</x:v>
      </x:c>
      <x:c r="I19" s="38">
        <x:v>46303.0</x:v>
      </x:c>
      <x:c r="J19" s="37" t="s">
        <x:v>66</x:v>
      </x:c>
      <x:c r="K19" s="37" t="s">
        <x:v>22</x:v>
      </x:c>
      <x:c r="L19" s="37" t="s">
        <x:v>74</x:v>
      </x:c>
    </x:row>
    <x:row r="20">
      <x:c r="C20" s="37" t="s">
        <x:v>75</x:v>
      </x:c>
      <x:c r="D20" s="37" t="s">
        <x:v>70</x:v>
      </x:c>
      <x:c r="E20" s="37" t="s">
        <x:v>145</x:v>
      </x:c>
      <x:c r="F20" s="37" t="s">
        <x:v>146</x:v>
      </x:c>
      <x:c r="G20" s="37" t="s">
        <x:v>147</x:v>
      </x:c>
      <x:c r="H20" s="38">
        <x:v>46297.0</x:v>
      </x:c>
      <x:c r="I20" s="38">
        <x:v>46303.0</x:v>
      </x:c>
      <x:c r="J20" s="37" t="s">
        <x:v>66</x:v>
      </x:c>
      <x:c r="K20" s="37" t="s">
        <x:v>22</x:v>
      </x:c>
      <x:c r="L20" s="37" t="s">
        <x:v>79</x:v>
      </x:c>
    </x:row>
    <x:row r="21">
      <x:c r="C21" s="37" t="s">
        <x:v>80</x:v>
      </x:c>
      <x:c r="D21" s="37" t="s">
        <x:v>81</x:v>
      </x:c>
      <x:c r="E21" s="37" t="s">
        <x:v>148</x:v>
      </x:c>
      <x:c r="F21" s="37" t="s">
        <x:v>149</x:v>
      </x:c>
      <x:c r="G21" s="37" t="s">
        <x:v>150</x:v>
      </x:c>
      <x:c r="H21" s="38">
        <x:v>46304.0</x:v>
      </x:c>
      <x:c r="I21" s="38">
        <x:v>46312.0</x:v>
      </x:c>
      <x:c r="J21" s="37" t="s">
        <x:v>66</x:v>
      </x:c>
      <x:c r="K21" s="37" t="s">
        <x:v>22</x:v>
      </x:c>
      <x:c r="L21" s="37" t="s">
        <x:v>85</x:v>
      </x:c>
    </x:row>
    <x:row r="22">
      <x:c r="C22" s="37" t="s">
        <x:v>86</x:v>
      </x:c>
      <x:c r="D22" s="37" t="s">
        <x:v>81</x:v>
      </x:c>
      <x:c r="E22" s="37" t="s">
        <x:v>148</x:v>
      </x:c>
      <x:c r="F22" s="37" t="s">
        <x:v>151</x:v>
      </x:c>
      <x:c r="G22" s="37" t="s">
        <x:v>152</x:v>
      </x:c>
      <x:c r="H22" s="38">
        <x:v>46304.0</x:v>
      </x:c>
      <x:c r="I22" s="38">
        <x:v>46312.0</x:v>
      </x:c>
      <x:c r="J22" s="37" t="s">
        <x:v>66</x:v>
      </x:c>
      <x:c r="K22" s="37" t="s">
        <x:v>22</x:v>
      </x:c>
      <x:c r="L22" s="37" t="s">
        <x:v>89</x:v>
      </x:c>
    </x:row>
    <x:row r="23">
      <x:c r="C23" s="37" t="s">
        <x:v>90</x:v>
      </x:c>
      <x:c r="D23" s="37" t="s">
        <x:v>81</x:v>
      </x:c>
      <x:c r="E23" s="37" t="s">
        <x:v>148</x:v>
      </x:c>
      <x:c r="F23" s="37" t="s">
        <x:v>153</x:v>
      </x:c>
      <x:c r="G23" s="37" t="s">
        <x:v>154</x:v>
      </x:c>
      <x:c r="H23" s="38">
        <x:v>46312.0</x:v>
      </x:c>
      <x:c r="I23" s="38">
        <x:v>46318.0</x:v>
      </x:c>
      <x:c r="J23" s="37" t="s">
        <x:v>66</x:v>
      </x:c>
      <x:c r="K23" s="37" t="s">
        <x:v>22</x:v>
      </x:c>
      <x:c r="L23" s="37" t="s">
        <x:v>93</x:v>
      </x:c>
    </x:row>
  </x:sheetData>
  <x:pageMargins left="0.7" right="0.7" top="0.75" bottom="0.75" header="0.3" footer="0.3"/>
</x:worksheet>
</file>